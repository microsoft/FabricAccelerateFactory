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mc:AlternateContent xmlns:mc="http://schemas.openxmlformats.org/markup-compatibility/2006">
    <mc:Choice Requires="x15">
      <x15ac:absPath xmlns:x15ac="http://schemas.microsoft.com/office/spreadsheetml/2010/11/ac" url="https://microsoft-my.sharepoint.com/personal/srthanda_microsoft_com/Documents/1. CESBI/VSCode-Repo/2026March/FabricAccelerateFactory/MigrationPatterns/Synapse_To_MSFabric/Templates/"/>
    </mc:Choice>
  </mc:AlternateContent>
  <xr:revisionPtr revIDLastSave="2" documentId="13_ncr:101_{EB2547E7-46F0-43CD-8E86-BC32B70D1404}" xr6:coauthVersionLast="47" xr6:coauthVersionMax="47" xr10:uidLastSave="{D90420AD-8579-480C-8379-B416F8D791B3}"/>
  <bookViews>
    <workbookView xWindow="28680" yWindow="-120" windowWidth="38640" windowHeight="21120" xr2:uid="{00000000-000D-0000-FFFF-FFFF00000000}"/>
  </bookViews>
  <sheets>
    <sheet name="Azure Resources" sheetId="3" r:id="rId1"/>
    <sheet name="Compute Specifications" sheetId="1" r:id="rId2"/>
    <sheet name="Pricing Estimates" sheetId="2" r:id="rId3"/>
  </sheets>
  <definedNames>
    <definedName name="_xlnm._FilterDatabase" localSheetId="2" hidden="1">'Pricing Estimates'!$A$2:$R$2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 i="2" l="1"/>
  <c r="K4" i="2"/>
  <c r="O12" i="2"/>
  <c r="K3" i="2"/>
  <c r="O3" i="2" s="1"/>
  <c r="Q5" i="2" l="1"/>
  <c r="P5" i="2"/>
  <c r="O5" i="2"/>
  <c r="Q4" i="2"/>
  <c r="P4" i="2"/>
  <c r="O4" i="2"/>
  <c r="Q3" i="2"/>
  <c r="P3" i="2"/>
  <c r="O10" i="2" l="1"/>
</calcChain>
</file>

<file path=xl/sharedStrings.xml><?xml version="1.0" encoding="utf-8"?>
<sst xmlns="http://schemas.openxmlformats.org/spreadsheetml/2006/main" count="147" uniqueCount="61">
  <si>
    <t>Dev</t>
  </si>
  <si>
    <t>UAT</t>
  </si>
  <si>
    <t>PROD</t>
  </si>
  <si>
    <t>Purpose</t>
  </si>
  <si>
    <t>Synapse Spark Pool</t>
  </si>
  <si>
    <t>Azure Storage Account</t>
  </si>
  <si>
    <t>MS Fabric Workspace</t>
  </si>
  <si>
    <t>Configuration</t>
  </si>
  <si>
    <t>Hours Used Per Day</t>
  </si>
  <si>
    <t>Days used Per Month</t>
  </si>
  <si>
    <t>vCore Per Node</t>
  </si>
  <si>
    <t>No of Nodes</t>
  </si>
  <si>
    <t>Unit Price</t>
  </si>
  <si>
    <t>Cost Per Month</t>
  </si>
  <si>
    <t># of Dev Months</t>
  </si>
  <si>
    <t># of UAT Months</t>
  </si>
  <si>
    <t># of PROD Months</t>
  </si>
  <si>
    <t>Q1 Dev Cost</t>
  </si>
  <si>
    <t>Q1 UAT Cost</t>
  </si>
  <si>
    <t>Q1 PROD Cost</t>
  </si>
  <si>
    <t>Notes</t>
  </si>
  <si>
    <t xml:space="preserve"> $0.036 per vCore per Hour for West US2/US3</t>
  </si>
  <si>
    <t>Medium
(8 vCore, 64 GB Memory)</t>
  </si>
  <si>
    <t>Large 
(16 vCore, 128 GB Memory)</t>
  </si>
  <si>
    <t>Total Q1 Cost</t>
  </si>
  <si>
    <t>Total vCore</t>
  </si>
  <si>
    <t>&lt;&lt;Data lake name&gt;&gt;</t>
  </si>
  <si>
    <t>Data lake for Domain 1</t>
  </si>
  <si>
    <t>Data lake for Domain 2</t>
  </si>
  <si>
    <t>&lt;&lt;Azure Tenant Name&gt;&gt;</t>
  </si>
  <si>
    <t>MS Fabric Capacity</t>
  </si>
  <si>
    <t>&lt;&lt;Capacity Name&gt;&gt;</t>
  </si>
  <si>
    <t>Fabric Capacity for Domain 1</t>
  </si>
  <si>
    <t>Data lake for Domain N</t>
  </si>
  <si>
    <t>Fabric Capacity for Domain 2</t>
  </si>
  <si>
    <t>Fabric Capacity for Domain N</t>
  </si>
  <si>
    <t>&lt;&lt;Workspace Name&gt;&gt;</t>
  </si>
  <si>
    <t>Fabric Workspace for Domain N</t>
  </si>
  <si>
    <t>Fabric Workspace for Domain 1</t>
  </si>
  <si>
    <t>Fabric Workspace for Domain 2</t>
  </si>
  <si>
    <t>Shared Workspace with Lakehouse shortcuts from all domains</t>
  </si>
  <si>
    <t>Is Created? (Y/N)</t>
  </si>
  <si>
    <t>Access Provisioned?(Y/N)</t>
  </si>
  <si>
    <t>General Guidelines:</t>
  </si>
  <si>
    <t>Azure Tenant</t>
  </si>
  <si>
    <t>1. Adopt a consistent naming convention for all resources.
2. Use Managed Identities or Workspace Identity to enable secure access between resources.
3. Assign individual user access through Azure Privileged Identity Management.
4. Create resources by Domain if you are dealing with multiple domains in the org.</t>
  </si>
  <si>
    <t>1. Resource Names
2. Number of Container &amp; Container Names
3. IAM Access Mapping</t>
  </si>
  <si>
    <t>Environment</t>
  </si>
  <si>
    <t>1. Capacity Name
2. Capacity pricing tier</t>
  </si>
  <si>
    <t>1. Workspace Name
2. Settings: Capacity to Map, Storage Format, Enable Workspace Identity,  Workspace Access to Grant.</t>
  </si>
  <si>
    <t>Domain Name</t>
  </si>
  <si>
    <t>Domain 1</t>
  </si>
  <si>
    <t>Domain 2</t>
  </si>
  <si>
    <t>Domain 3</t>
  </si>
  <si>
    <t>Azure Pricing</t>
  </si>
  <si>
    <t>Packages to Install (if applicable)</t>
  </si>
  <si>
    <t>Pricing Projection during Migration</t>
  </si>
  <si>
    <t>Resource Type (As applicable)</t>
  </si>
  <si>
    <t>…</t>
  </si>
  <si>
    <t>Resource Type (as applicable)</t>
  </si>
  <si>
    <t>For example: 
1. Install following packages to the spark pool envrionment,
mssql-jdbc-12.8.1.jre11.jar
spark-mssql-connector_2.12-1.3.0-BETA.jar
msal4j-1.18.0.jar
spark-excel_2.12-3.5.1_0.20.4.jar
2. Add following spark configuarion files
ConfigForCustomLogging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</si>
</sst>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_(* #,##0.000_);_(* \(#,##0.000\);_(* &quot;-&quot;??_);_(@_)"/>
    <numFmt numFmtId="165" formatCode="_(* #,##0_);_(* \(#,##0\);_(* &quot;-&quot;??_);_(@_)"/>
    <numFmt numFmtId="166" formatCode="&quot;$&quot;#,##0"/>
  </numFmts>
  <fonts count="9">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rgb="FF000000"/>
      <name val="Aptos Narrow"/>
      <family val="2"/>
    </font>
    <font>
      <u/>
      <sz val="11"/>
      <color theme="10"/>
      <name val="Aptos Narrow"/>
      <family val="2"/>
      <scheme val="minor"/>
    </font>
    <font>
      <sz val="11"/>
      <color theme="1"/>
      <name val="Segoe UI VSS (Regular)"/>
      <charset val="1"/>
    </font>
    <font>
      <i/>
      <sz val="11"/>
      <color theme="1"/>
      <name val="Aptos Narrow"/>
      <family val="2"/>
      <scheme val="minor"/>
    </font>
    <font>
      <sz val="8"/>
      <name val="Aptos Narrow"/>
      <family val="2"/>
      <scheme val="minor"/>
    </font>
  </fonts>
  <fills count="11">
    <fill>
      <patternFill patternType="none"/>
    </fill>
    <fill>
      <patternFill patternType="gray125"/>
    </fill>
    <fill>
      <patternFill patternType="solid">
        <fgColor theme="4"/>
        <bgColor theme="4"/>
      </patternFill>
    </fill>
    <fill>
      <patternFill patternType="solid">
        <fgColor theme="4" tint="-0.499984740745262"/>
        <bgColor indexed="64"/>
      </patternFill>
    </fill>
    <fill>
      <patternFill patternType="solid">
        <fgColor theme="3"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3"/>
        <bgColor indexed="64"/>
      </patternFill>
    </fill>
    <fill>
      <patternFill patternType="solid">
        <fgColor theme="9" tint="0.79998168889431442"/>
        <bgColor indexed="64"/>
      </patternFill>
    </fill>
    <fill>
      <patternFill patternType="solid">
        <fgColor rgb="FFFFFFFF"/>
        <bgColor indexed="64"/>
      </patternFill>
    </fill>
    <fill>
      <patternFill patternType="solid">
        <fgColor theme="2"/>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indexed="64"/>
      </left>
      <right style="thin">
        <color indexed="64"/>
      </right>
      <top style="thin">
        <color indexed="64"/>
      </top>
      <bottom/>
      <diagonal/>
    </border>
    <border>
      <left style="thin">
        <color theme="4" tint="0.39997558519241921"/>
      </left>
      <right/>
      <top style="thin">
        <color theme="4" tint="0.39997558519241921"/>
      </top>
      <bottom style="thin">
        <color theme="4" tint="0.39997558519241921"/>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4">
    <xf numFmtId="0" fontId="0" fillId="0" borderId="0"/>
    <xf numFmtId="43" fontId="1" fillId="0" borderId="0" applyFont="0" applyFill="0" applyBorder="0" applyAlignment="0" applyProtection="0"/>
    <xf numFmtId="44" fontId="1" fillId="0" borderId="0" applyFont="0" applyFill="0" applyBorder="0" applyAlignment="0" applyProtection="0"/>
    <xf numFmtId="0" fontId="5" fillId="0" borderId="0" applyNumberFormat="0" applyFill="0" applyBorder="0" applyAlignment="0" applyProtection="0"/>
  </cellStyleXfs>
  <cellXfs count="40">
    <xf numFmtId="0" fontId="0" fillId="0" borderId="0" xfId="0"/>
    <xf numFmtId="0" fontId="2" fillId="3" borderId="1" xfId="0" applyFont="1" applyFill="1" applyBorder="1"/>
    <xf numFmtId="0" fontId="2" fillId="4" borderId="1" xfId="0" applyFont="1" applyFill="1" applyBorder="1"/>
    <xf numFmtId="0" fontId="2" fillId="2" borderId="1" xfId="0" applyFont="1" applyFill="1" applyBorder="1"/>
    <xf numFmtId="0" fontId="2" fillId="5" borderId="1" xfId="0" applyFont="1" applyFill="1" applyBorder="1"/>
    <xf numFmtId="0" fontId="2" fillId="7" borderId="1" xfId="0" applyFont="1" applyFill="1" applyBorder="1"/>
    <xf numFmtId="0" fontId="0" fillId="0" borderId="1" xfId="0" applyBorder="1" applyAlignment="1">
      <alignment horizontal="left" vertical="top"/>
    </xf>
    <xf numFmtId="0" fontId="0" fillId="0" borderId="1" xfId="0" applyBorder="1" applyAlignment="1">
      <alignment horizontal="left" vertical="top" wrapText="1"/>
    </xf>
    <xf numFmtId="165" fontId="0" fillId="0" borderId="1" xfId="1" applyNumberFormat="1" applyFont="1" applyFill="1" applyBorder="1" applyAlignment="1">
      <alignment horizontal="left" vertical="top" wrapText="1"/>
    </xf>
    <xf numFmtId="164" fontId="0" fillId="0" borderId="1" xfId="1" applyNumberFormat="1" applyFont="1" applyFill="1" applyBorder="1" applyAlignment="1">
      <alignment horizontal="left" vertical="top"/>
    </xf>
    <xf numFmtId="165" fontId="0" fillId="0" borderId="1" xfId="1" applyNumberFormat="1" applyFont="1" applyFill="1" applyBorder="1" applyAlignment="1">
      <alignment horizontal="left" vertical="top"/>
    </xf>
    <xf numFmtId="166" fontId="0" fillId="0" borderId="1" xfId="2" applyNumberFormat="1" applyFont="1" applyFill="1" applyBorder="1" applyAlignment="1">
      <alignment horizontal="center" vertical="top"/>
    </xf>
    <xf numFmtId="166" fontId="0" fillId="0" borderId="1" xfId="1" applyNumberFormat="1" applyFont="1" applyFill="1" applyBorder="1" applyAlignment="1">
      <alignment horizontal="center" vertical="top"/>
    </xf>
    <xf numFmtId="164" fontId="0" fillId="0" borderId="1" xfId="1" applyNumberFormat="1" applyFont="1" applyFill="1" applyBorder="1" applyAlignment="1">
      <alignment horizontal="center" vertical="top"/>
    </xf>
    <xf numFmtId="0" fontId="0" fillId="0" borderId="1" xfId="0" applyBorder="1"/>
    <xf numFmtId="0" fontId="3" fillId="8" borderId="2" xfId="0" applyFont="1" applyFill="1" applyBorder="1" applyAlignment="1">
      <alignment vertical="center"/>
    </xf>
    <xf numFmtId="0" fontId="3" fillId="8" borderId="3" xfId="0" applyFont="1" applyFill="1" applyBorder="1" applyAlignment="1">
      <alignment vertical="center"/>
    </xf>
    <xf numFmtId="166" fontId="3" fillId="8" borderId="3" xfId="0" applyNumberFormat="1" applyFont="1" applyFill="1" applyBorder="1" applyAlignment="1">
      <alignment vertical="center"/>
    </xf>
    <xf numFmtId="0" fontId="6" fillId="9" borderId="0" xfId="0" applyFont="1" applyFill="1" applyAlignment="1">
      <alignment wrapText="1"/>
    </xf>
    <xf numFmtId="0" fontId="5" fillId="0" borderId="0" xfId="3" applyAlignment="1">
      <alignment wrapText="1"/>
    </xf>
    <xf numFmtId="0" fontId="0" fillId="10" borderId="0" xfId="0" applyFill="1"/>
    <xf numFmtId="0" fontId="3" fillId="10" borderId="0" xfId="0" applyFont="1" applyFill="1"/>
    <xf numFmtId="0" fontId="3" fillId="0" borderId="6" xfId="0" applyFont="1" applyBorder="1" applyAlignment="1">
      <alignment horizontal="left" vertical="top"/>
    </xf>
    <xf numFmtId="0" fontId="3" fillId="0" borderId="1" xfId="0" applyFont="1" applyBorder="1" applyAlignment="1">
      <alignment horizontal="left" vertical="top"/>
    </xf>
    <xf numFmtId="0" fontId="3" fillId="0" borderId="7" xfId="0" applyFont="1" applyBorder="1" applyAlignment="1">
      <alignment horizontal="left" vertical="top"/>
    </xf>
    <xf numFmtId="0" fontId="0" fillId="0" borderId="6" xfId="0" applyBorder="1"/>
    <xf numFmtId="0" fontId="7" fillId="0" borderId="1" xfId="0" applyFont="1" applyBorder="1" applyAlignment="1">
      <alignment wrapText="1"/>
    </xf>
    <xf numFmtId="0" fontId="7" fillId="0" borderId="8" xfId="0" applyFont="1" applyBorder="1" applyAlignment="1">
      <alignment wrapText="1"/>
    </xf>
    <xf numFmtId="0" fontId="0" fillId="0" borderId="9" xfId="0" applyBorder="1"/>
    <xf numFmtId="0" fontId="0" fillId="0" borderId="4" xfId="0" applyBorder="1"/>
    <xf numFmtId="0" fontId="7" fillId="0" borderId="4" xfId="0" applyFont="1" applyBorder="1" applyAlignment="1">
      <alignment wrapText="1"/>
    </xf>
    <xf numFmtId="0" fontId="7" fillId="0" borderId="10" xfId="0" applyFont="1" applyBorder="1" applyAlignment="1">
      <alignment wrapText="1"/>
    </xf>
    <xf numFmtId="0" fontId="0" fillId="0" borderId="0" xfId="0" applyAlignment="1">
      <alignment horizontal="left" vertical="top"/>
    </xf>
    <xf numFmtId="0" fontId="4" fillId="0" borderId="0" xfId="0" applyFont="1" applyAlignment="1">
      <alignment horizontal="left" vertical="top" wrapText="1"/>
    </xf>
    <xf numFmtId="0" fontId="0" fillId="0" borderId="0" xfId="0" applyAlignment="1">
      <alignment vertical="top"/>
    </xf>
    <xf numFmtId="0" fontId="0" fillId="0" borderId="5" xfId="0" applyBorder="1" applyAlignment="1">
      <alignment horizontal="left" vertical="top"/>
    </xf>
    <xf numFmtId="0" fontId="0" fillId="0" borderId="0" xfId="0" applyAlignment="1">
      <alignment horizontal="left" vertical="top" wrapText="1"/>
    </xf>
    <xf numFmtId="0" fontId="2" fillId="6" borderId="0" xfId="0" applyFont="1" applyFill="1" applyAlignment="1">
      <alignment horizontal="center"/>
    </xf>
    <xf numFmtId="0" fontId="0" fillId="10" borderId="0" xfId="0" applyFill="1" applyAlignment="1">
      <alignment horizontal="left" vertical="top" wrapText="1"/>
    </xf>
    <xf numFmtId="0" fontId="2" fillId="3" borderId="0" xfId="0" applyFont="1" applyFill="1" applyAlignment="1">
      <alignment horizontal="center"/>
    </xf>
  </cellXfs>
  <cellStyles count="4">
    <cellStyle name="Comma" xfId="1" builtinId="3"/>
    <cellStyle name="Currency" xfId="2" builtinId="4"/>
    <cellStyle name="Hyperlink" xfId="3" builtinId="8"/>
    <cellStyle name="Normal" xfId="0" builtinId="0"/>
  </cellStyles>
  <dxfs count="19">
    <dxf>
      <fill>
        <patternFill patternType="none">
          <fgColor indexed="64"/>
          <bgColor auto="1"/>
        </patternFill>
      </fill>
      <alignment horizontal="left" vertical="top" textRotation="0" indent="0" justifyLastLine="0" shrinkToFit="0" readingOrder="0"/>
    </dxf>
    <dxf>
      <fill>
        <patternFill patternType="none">
          <fgColor indexed="64"/>
          <bgColor auto="1"/>
        </patternFill>
      </fill>
      <alignment horizontal="left" vertical="top" textRotation="0" indent="0" justifyLastLine="0" shrinkToFit="0" readingOrder="0"/>
    </dxf>
    <dxf>
      <fill>
        <patternFill patternType="none">
          <fgColor indexed="64"/>
          <bgColor auto="1"/>
        </patternFill>
      </fill>
      <alignment horizontal="left" vertical="top" textRotation="0" indent="0" justifyLastLine="0" shrinkToFit="0" readingOrder="0"/>
    </dxf>
    <dxf>
      <fill>
        <patternFill patternType="none">
          <fgColor indexed="64"/>
          <bgColor auto="1"/>
        </patternFill>
      </fill>
      <alignment horizontal="left" vertical="top" textRotation="0" indent="0" justifyLastLine="0" shrinkToFit="0" readingOrder="0"/>
    </dxf>
    <dxf>
      <fill>
        <patternFill patternType="none">
          <fgColor indexed="64"/>
          <bgColor auto="1"/>
        </patternFill>
      </fill>
      <alignment horizontal="left" vertical="top" textRotation="0" indent="0" justifyLastLine="0" shrinkToFit="0" readingOrder="0"/>
    </dxf>
    <dxf>
      <fill>
        <patternFill patternType="none">
          <fgColor indexed="64"/>
          <bgColor auto="1"/>
        </patternFill>
      </fill>
      <alignment horizontal="left" vertical="top" textRotation="0" indent="0" justifyLastLine="0" shrinkToFit="0" readingOrder="0"/>
    </dxf>
    <dxf>
      <fill>
        <patternFill patternType="none">
          <fgColor indexed="64"/>
          <bgColor auto="1"/>
        </patternFill>
      </fill>
      <alignment horizontal="left" vertical="top" textRotation="0" indent="0" justifyLastLine="0" shrinkToFit="0" readingOrder="0"/>
    </dxf>
    <dxf>
      <fill>
        <patternFill patternType="none">
          <fgColor indexed="64"/>
          <bgColor auto="1"/>
        </patternFill>
      </fill>
      <alignment horizontal="left" vertical="top" textRotation="0" indent="0" justifyLastLine="0" shrinkToFit="0" readingOrder="0"/>
    </dxf>
    <dxf>
      <font>
        <b val="0"/>
        <i/>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style="thin">
          <color indexed="64"/>
        </left>
        <right/>
        <top style="thin">
          <color indexed="64"/>
        </top>
        <bottom style="thin">
          <color indexed="64"/>
        </bottom>
      </border>
    </dxf>
    <dxf>
      <font>
        <b val="0"/>
        <i/>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border diagonalUp="0" diagonalDown="0" outline="0">
        <left/>
        <right style="thin">
          <color indexed="64"/>
        </right>
        <top style="thin">
          <color indexed="64"/>
        </top>
        <bottom style="thin">
          <color indexed="64"/>
        </bottom>
      </border>
    </dxf>
    <dxf>
      <border outline="0">
        <left style="thin">
          <color indexed="64"/>
        </left>
        <right style="thin">
          <color indexed="64"/>
        </right>
        <bottom style="thin">
          <color indexed="64"/>
        </bottom>
      </border>
    </dxf>
    <dxf>
      <fill>
        <patternFill patternType="none">
          <fgColor indexed="64"/>
          <bgColor auto="1"/>
        </patternFill>
      </fill>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top"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D36F9BB-D546-4904-B825-4DBB1DD8E27A}" name="Table2" displayName="Table2" ref="A5:H18" totalsRowShown="0" headerRowDxfId="18" dataDxfId="17" tableBorderDxfId="16">
  <autoFilter ref="A5:H18" xr:uid="{8D36F9BB-D546-4904-B825-4DBB1DD8E27A}"/>
  <tableColumns count="8">
    <tableColumn id="1" xr3:uid="{C84FCCF6-C640-4D8E-BE19-958358417A4C}" name="Azure Tenant" dataDxfId="15"/>
    <tableColumn id="2" xr3:uid="{94669708-A1A9-4761-88F3-B3B196B8F0A5}" name="Resource Type (As applicable)" dataDxfId="14"/>
    <tableColumn id="3" xr3:uid="{92BD37F1-3BAC-4846-982C-0432714FDF62}" name="Dev" dataDxfId="13"/>
    <tableColumn id="4" xr3:uid="{70D155BF-8953-45DC-9A34-3DF62E22B219}" name="UAT" dataDxfId="12"/>
    <tableColumn id="5" xr3:uid="{6AEA7E50-11F5-4F8B-9178-B360EE577936}" name="PROD" dataDxfId="11"/>
    <tableColumn id="6" xr3:uid="{48E3802F-19FD-4621-A384-F3E38260A137}" name="Purpose" dataDxfId="10"/>
    <tableColumn id="7" xr3:uid="{BF5FBBFC-564E-487F-A9A2-20A4EF984D87}" name="Is Created? (Y/N)" dataDxfId="9"/>
    <tableColumn id="8" xr3:uid="{61F625A7-8201-42BA-A396-E77A7C3869CA}" name="Access Provisioned?(Y/N)" dataDxfId="8"/>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A10E5A5-F2DE-4CE8-8803-81282A52B5B0}" name="Table1" displayName="Table1" ref="A2:F5" totalsRowShown="0" headerRowDxfId="7" dataDxfId="6">
  <autoFilter ref="A2:F5" xr:uid="{8A10E5A5-F2DE-4CE8-8803-81282A52B5B0}"/>
  <tableColumns count="6">
    <tableColumn id="1" xr3:uid="{2FD619EB-1CBE-450A-8B13-3235974E26DF}" name="Azure Tenant" dataDxfId="5"/>
    <tableColumn id="2" xr3:uid="{59639DB1-C80C-43F1-981F-127C7739DBE4}" name="Resource Type (as applicable)" dataDxfId="4"/>
    <tableColumn id="3" xr3:uid="{FB265305-553E-48A2-A1C4-68922FACD53A}" name="Dev" dataDxfId="3"/>
    <tableColumn id="4" xr3:uid="{B0537E8F-42D7-4F86-843C-BF64591B9963}" name="UAT" dataDxfId="2"/>
    <tableColumn id="5" xr3:uid="{ADA08F32-4091-4188-BB4B-BF497CC0A648}" name="PROD" dataDxfId="1"/>
    <tableColumn id="6" xr3:uid="{894D7DAB-5A4A-4ADF-8E5A-2B8D3CCECC2A}" name="Packages to Install (if applicabl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customProperty" Target="../customProperty3.bin"/><Relationship Id="rId1" Type="http://schemas.openxmlformats.org/officeDocument/2006/relationships/customProperty" Target="../customProperty2.bin"/></Relationships>
</file>

<file path=xl/worksheets/_rels/sheet3.xml.rels><?xml version="1.0" encoding="UTF-8" standalone="yes"?>
<Relationships xmlns="http://schemas.openxmlformats.org/package/2006/relationships"><Relationship Id="rId1" Type="http://schemas.openxmlformats.org/officeDocument/2006/relationships/customProperty" Target="../customProperty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6F461-D093-432B-892E-9C4C0235DA9F}">
  <dimension ref="A1:H18"/>
  <sheetViews>
    <sheetView showGridLines="0" tabSelected="1" workbookViewId="0">
      <selection activeCell="B9" sqref="B9"/>
    </sheetView>
  </sheetViews>
  <sheetFormatPr defaultRowHeight="14.5"/>
  <cols>
    <col min="1" max="1" width="21.36328125" bestFit="1" customWidth="1"/>
    <col min="2" max="2" width="29.81640625" bestFit="1" customWidth="1"/>
    <col min="3" max="4" width="23.81640625" customWidth="1"/>
    <col min="5" max="5" width="27.26953125" bestFit="1" customWidth="1"/>
    <col min="6" max="6" width="54.6328125" bestFit="1" customWidth="1"/>
    <col min="7" max="7" width="17.6328125" customWidth="1"/>
    <col min="8" max="8" width="25" customWidth="1"/>
    <col min="9" max="9" width="23.81640625" bestFit="1" customWidth="1"/>
    <col min="10" max="10" width="23.1796875" customWidth="1"/>
  </cols>
  <sheetData>
    <row r="1" spans="1:8">
      <c r="A1" s="21" t="s">
        <v>43</v>
      </c>
      <c r="B1" s="20"/>
      <c r="C1" s="20"/>
      <c r="D1" s="20"/>
      <c r="E1" s="20"/>
      <c r="F1" s="20"/>
      <c r="G1" s="20"/>
      <c r="H1" s="20"/>
    </row>
    <row r="2" spans="1:8" ht="61" customHeight="1">
      <c r="A2" s="38" t="s">
        <v>45</v>
      </c>
      <c r="B2" s="38"/>
      <c r="C2" s="38"/>
      <c r="D2" s="38"/>
      <c r="E2" s="38"/>
      <c r="F2" s="20"/>
      <c r="G2" s="20"/>
      <c r="H2" s="20"/>
    </row>
    <row r="5" spans="1:8">
      <c r="A5" s="22" t="s">
        <v>44</v>
      </c>
      <c r="B5" s="23" t="s">
        <v>57</v>
      </c>
      <c r="C5" s="23" t="s">
        <v>0</v>
      </c>
      <c r="D5" s="23" t="s">
        <v>1</v>
      </c>
      <c r="E5" s="23" t="s">
        <v>2</v>
      </c>
      <c r="F5" s="23" t="s">
        <v>3</v>
      </c>
      <c r="G5" s="23" t="s">
        <v>41</v>
      </c>
      <c r="H5" s="24" t="s">
        <v>42</v>
      </c>
    </row>
    <row r="6" spans="1:8">
      <c r="A6" s="25" t="s">
        <v>29</v>
      </c>
      <c r="B6" s="6" t="s">
        <v>5</v>
      </c>
      <c r="C6" s="14" t="s">
        <v>26</v>
      </c>
      <c r="D6" s="14" t="s">
        <v>26</v>
      </c>
      <c r="E6" s="14" t="s">
        <v>26</v>
      </c>
      <c r="F6" s="14" t="s">
        <v>27</v>
      </c>
      <c r="G6" s="26"/>
      <c r="H6" s="27"/>
    </row>
    <row r="7" spans="1:8">
      <c r="A7" s="25" t="s">
        <v>29</v>
      </c>
      <c r="B7" s="6" t="s">
        <v>5</v>
      </c>
      <c r="C7" s="14" t="s">
        <v>26</v>
      </c>
      <c r="D7" s="14" t="s">
        <v>26</v>
      </c>
      <c r="E7" s="14" t="s">
        <v>26</v>
      </c>
      <c r="F7" s="14" t="s">
        <v>28</v>
      </c>
      <c r="G7" s="26"/>
      <c r="H7" s="27"/>
    </row>
    <row r="8" spans="1:8">
      <c r="A8" s="25" t="s">
        <v>29</v>
      </c>
      <c r="B8" s="6" t="s">
        <v>5</v>
      </c>
      <c r="C8" s="14" t="s">
        <v>26</v>
      </c>
      <c r="D8" s="14" t="s">
        <v>26</v>
      </c>
      <c r="E8" s="14" t="s">
        <v>26</v>
      </c>
      <c r="F8" s="14" t="s">
        <v>33</v>
      </c>
      <c r="G8" s="26"/>
      <c r="H8" s="27"/>
    </row>
    <row r="9" spans="1:8">
      <c r="A9" s="25" t="s">
        <v>29</v>
      </c>
      <c r="B9" s="14" t="s">
        <v>30</v>
      </c>
      <c r="C9" s="14" t="s">
        <v>31</v>
      </c>
      <c r="D9" s="14" t="s">
        <v>31</v>
      </c>
      <c r="E9" s="14" t="s">
        <v>31</v>
      </c>
      <c r="F9" s="14" t="s">
        <v>32</v>
      </c>
      <c r="G9" s="26"/>
      <c r="H9" s="27"/>
    </row>
    <row r="10" spans="1:8">
      <c r="A10" s="25" t="s">
        <v>29</v>
      </c>
      <c r="B10" s="14" t="s">
        <v>30</v>
      </c>
      <c r="C10" s="14" t="s">
        <v>31</v>
      </c>
      <c r="D10" s="14" t="s">
        <v>31</v>
      </c>
      <c r="E10" s="14" t="s">
        <v>31</v>
      </c>
      <c r="F10" s="14" t="s">
        <v>34</v>
      </c>
      <c r="G10" s="26"/>
      <c r="H10" s="27"/>
    </row>
    <row r="11" spans="1:8">
      <c r="A11" s="25" t="s">
        <v>29</v>
      </c>
      <c r="B11" s="14" t="s">
        <v>30</v>
      </c>
      <c r="C11" s="14" t="s">
        <v>31</v>
      </c>
      <c r="D11" s="14" t="s">
        <v>31</v>
      </c>
      <c r="E11" s="14" t="s">
        <v>31</v>
      </c>
      <c r="F11" s="14" t="s">
        <v>35</v>
      </c>
      <c r="G11" s="26"/>
      <c r="H11" s="27"/>
    </row>
    <row r="12" spans="1:8" ht="30.65" customHeight="1">
      <c r="A12" s="25" t="s">
        <v>29</v>
      </c>
      <c r="B12" s="14" t="s">
        <v>6</v>
      </c>
      <c r="C12" s="14" t="s">
        <v>36</v>
      </c>
      <c r="D12" s="14" t="s">
        <v>36</v>
      </c>
      <c r="E12" s="14" t="s">
        <v>36</v>
      </c>
      <c r="F12" s="14" t="s">
        <v>38</v>
      </c>
      <c r="G12" s="26"/>
      <c r="H12" s="27"/>
    </row>
    <row r="13" spans="1:8">
      <c r="A13" s="25" t="s">
        <v>29</v>
      </c>
      <c r="B13" s="14" t="s">
        <v>6</v>
      </c>
      <c r="C13" s="14" t="s">
        <v>36</v>
      </c>
      <c r="D13" s="14" t="s">
        <v>36</v>
      </c>
      <c r="E13" s="14" t="s">
        <v>36</v>
      </c>
      <c r="F13" s="14" t="s">
        <v>39</v>
      </c>
      <c r="G13" s="26"/>
      <c r="H13" s="27"/>
    </row>
    <row r="14" spans="1:8">
      <c r="A14" s="25" t="s">
        <v>29</v>
      </c>
      <c r="B14" s="14" t="s">
        <v>6</v>
      </c>
      <c r="C14" s="14" t="s">
        <v>36</v>
      </c>
      <c r="D14" s="14" t="s">
        <v>36</v>
      </c>
      <c r="E14" s="14" t="s">
        <v>36</v>
      </c>
      <c r="F14" s="14" t="s">
        <v>37</v>
      </c>
      <c r="G14" s="26"/>
      <c r="H14" s="27"/>
    </row>
    <row r="15" spans="1:8">
      <c r="A15" s="28" t="s">
        <v>29</v>
      </c>
      <c r="B15" s="29" t="s">
        <v>6</v>
      </c>
      <c r="C15" s="29" t="s">
        <v>36</v>
      </c>
      <c r="D15" s="29" t="s">
        <v>36</v>
      </c>
      <c r="E15" s="29" t="s">
        <v>36</v>
      </c>
      <c r="F15" s="29" t="s">
        <v>40</v>
      </c>
      <c r="G15" s="30"/>
      <c r="H15" s="31"/>
    </row>
    <row r="16" spans="1:8">
      <c r="A16" s="28" t="s">
        <v>58</v>
      </c>
      <c r="B16" s="28" t="s">
        <v>58</v>
      </c>
      <c r="C16" s="28" t="s">
        <v>58</v>
      </c>
      <c r="D16" s="28" t="s">
        <v>58</v>
      </c>
      <c r="E16" s="28" t="s">
        <v>58</v>
      </c>
      <c r="F16" s="28" t="s">
        <v>58</v>
      </c>
      <c r="G16" s="30"/>
      <c r="H16" s="31"/>
    </row>
    <row r="17" spans="1:8">
      <c r="A17" s="28" t="s">
        <v>58</v>
      </c>
      <c r="B17" s="28" t="s">
        <v>58</v>
      </c>
      <c r="C17" s="28" t="s">
        <v>58</v>
      </c>
      <c r="D17" s="28" t="s">
        <v>58</v>
      </c>
      <c r="E17" s="28" t="s">
        <v>58</v>
      </c>
      <c r="F17" s="28" t="s">
        <v>58</v>
      </c>
      <c r="G17" s="30"/>
      <c r="H17" s="31"/>
    </row>
    <row r="18" spans="1:8">
      <c r="A18" s="28" t="s">
        <v>58</v>
      </c>
      <c r="B18" s="28" t="s">
        <v>58</v>
      </c>
      <c r="C18" s="28" t="s">
        <v>58</v>
      </c>
      <c r="D18" s="28" t="s">
        <v>58</v>
      </c>
      <c r="E18" s="28" t="s">
        <v>58</v>
      </c>
      <c r="F18" s="28" t="s">
        <v>58</v>
      </c>
      <c r="G18" s="30"/>
      <c r="H18" s="31"/>
    </row>
  </sheetData>
  <mergeCells count="1">
    <mergeCell ref="A2:E2"/>
  </mergeCells>
  <phoneticPr fontId="8" type="noConversion"/>
  <pageMargins left="0.7" right="0.7" top="0.75" bottom="0.75" header="0.3" footer="0.3"/>
  <customProperties>
    <customPr name="EpmWorksheetKeyString_GUID" r:id="rId1"/>
  </customPropertie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
  <sheetViews>
    <sheetView showGridLines="0" workbookViewId="0">
      <selection activeCell="E5" sqref="E5"/>
    </sheetView>
  </sheetViews>
  <sheetFormatPr defaultRowHeight="14.5"/>
  <cols>
    <col min="1" max="1" width="21.36328125" bestFit="1" customWidth="1"/>
    <col min="2" max="2" width="29.453125" bestFit="1" customWidth="1"/>
    <col min="3" max="3" width="53.54296875" customWidth="1"/>
    <col min="4" max="4" width="53.54296875" bestFit="1" customWidth="1"/>
    <col min="5" max="5" width="53.1796875" bestFit="1" customWidth="1"/>
    <col min="6" max="6" width="72" customWidth="1"/>
    <col min="7" max="7" width="8.453125" customWidth="1"/>
    <col min="8" max="8" width="51.453125" bestFit="1" customWidth="1"/>
  </cols>
  <sheetData>
    <row r="1" spans="1:6">
      <c r="C1" s="39" t="s">
        <v>47</v>
      </c>
      <c r="D1" s="39"/>
      <c r="E1" s="39"/>
    </row>
    <row r="2" spans="1:6">
      <c r="A2" s="32" t="s">
        <v>44</v>
      </c>
      <c r="B2" s="32" t="s">
        <v>59</v>
      </c>
      <c r="C2" s="32" t="s">
        <v>0</v>
      </c>
      <c r="D2" s="32" t="s">
        <v>1</v>
      </c>
      <c r="E2" s="32" t="s">
        <v>2</v>
      </c>
      <c r="F2" s="32" t="s">
        <v>55</v>
      </c>
    </row>
    <row r="3" spans="1:6" ht="43.5">
      <c r="A3" s="32" t="s">
        <v>29</v>
      </c>
      <c r="B3" s="32" t="s">
        <v>5</v>
      </c>
      <c r="C3" s="33" t="s">
        <v>46</v>
      </c>
      <c r="D3" s="33" t="s">
        <v>46</v>
      </c>
      <c r="E3" s="33" t="s">
        <v>46</v>
      </c>
      <c r="F3" s="32"/>
    </row>
    <row r="4" spans="1:6" ht="29">
      <c r="A4" s="32" t="s">
        <v>29</v>
      </c>
      <c r="B4" s="34" t="s">
        <v>30</v>
      </c>
      <c r="C4" s="33" t="s">
        <v>48</v>
      </c>
      <c r="D4" s="33" t="s">
        <v>48</v>
      </c>
      <c r="E4" s="33" t="s">
        <v>48</v>
      </c>
      <c r="F4" s="32"/>
    </row>
    <row r="5" spans="1:6" ht="130.5">
      <c r="A5" s="32" t="s">
        <v>29</v>
      </c>
      <c r="B5" s="34" t="s">
        <v>6</v>
      </c>
      <c r="C5" s="33" t="s">
        <v>49</v>
      </c>
      <c r="D5" s="33" t="s">
        <v>49</v>
      </c>
      <c r="E5" s="33" t="s">
        <v>49</v>
      </c>
      <c r="F5" s="36" t="s">
        <v>60</v>
      </c>
    </row>
    <row r="6" spans="1:6">
      <c r="C6" s="18"/>
    </row>
    <row r="7" spans="1:6">
      <c r="C7" s="19"/>
    </row>
  </sheetData>
  <mergeCells count="1">
    <mergeCell ref="C1:E1"/>
  </mergeCells>
  <pageMargins left="0.7" right="0.7" top="0.75" bottom="0.75" header="0.3" footer="0.3"/>
  <customProperties>
    <customPr name="EpmWorksheetKeyString_GUID" r:id="rId1"/>
    <customPr name="IbpWorksheetKeyString_GUID" r:id="rId2"/>
  </customProperties>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DDD8B-28A4-472A-B9AD-5F33E6A9FCB8}">
  <dimension ref="A1:R12"/>
  <sheetViews>
    <sheetView showGridLines="0" zoomScaleNormal="100" workbookViewId="0">
      <selection activeCell="B5" sqref="B5"/>
    </sheetView>
  </sheetViews>
  <sheetFormatPr defaultRowHeight="15" customHeight="1"/>
  <cols>
    <col min="1" max="1" width="21.36328125" bestFit="1" customWidth="1"/>
    <col min="2" max="2" width="16.26953125" bestFit="1" customWidth="1"/>
    <col min="3" max="3" width="31.7265625" customWidth="1"/>
    <col min="4" max="4" width="19.1796875" customWidth="1"/>
    <col min="5" max="5" width="22.81640625" bestFit="1" customWidth="1"/>
    <col min="6" max="6" width="20.453125" bestFit="1" customWidth="1"/>
    <col min="7" max="7" width="21.54296875" bestFit="1" customWidth="1"/>
    <col min="8" max="8" width="16.81640625" bestFit="1" customWidth="1"/>
    <col min="9" max="9" width="13.81640625" bestFit="1" customWidth="1"/>
    <col min="10" max="10" width="11.54296875" bestFit="1" customWidth="1"/>
    <col min="11" max="11" width="16.54296875" bestFit="1" customWidth="1"/>
    <col min="12" max="12" width="17.1796875" bestFit="1" customWidth="1"/>
    <col min="13" max="13" width="17" bestFit="1" customWidth="1"/>
    <col min="14" max="14" width="18.81640625" bestFit="1" customWidth="1"/>
    <col min="15" max="16" width="15.81640625" bestFit="1" customWidth="1"/>
    <col min="17" max="17" width="15.6328125" bestFit="1" customWidth="1"/>
    <col min="18" max="18" width="31.7265625" customWidth="1"/>
  </cols>
  <sheetData>
    <row r="1" spans="1:18" ht="14.5">
      <c r="F1" s="37" t="s">
        <v>56</v>
      </c>
      <c r="G1" s="37"/>
      <c r="H1" s="37"/>
      <c r="I1" s="37"/>
      <c r="J1" s="37"/>
      <c r="K1" s="37"/>
      <c r="L1" s="37"/>
      <c r="M1" s="37"/>
      <c r="N1" s="37"/>
      <c r="O1" s="37"/>
      <c r="P1" s="37"/>
      <c r="Q1" s="37"/>
    </row>
    <row r="2" spans="1:18" ht="14.5">
      <c r="A2" s="1" t="s">
        <v>44</v>
      </c>
      <c r="B2" s="1" t="s">
        <v>50</v>
      </c>
      <c r="C2" s="1" t="s">
        <v>59</v>
      </c>
      <c r="D2" s="1" t="s">
        <v>54</v>
      </c>
      <c r="E2" s="1" t="s">
        <v>7</v>
      </c>
      <c r="F2" s="2" t="s">
        <v>8</v>
      </c>
      <c r="G2" s="2" t="s">
        <v>9</v>
      </c>
      <c r="H2" s="2" t="s">
        <v>10</v>
      </c>
      <c r="I2" s="2" t="s">
        <v>11</v>
      </c>
      <c r="J2" s="3" t="s">
        <v>12</v>
      </c>
      <c r="K2" s="4" t="s">
        <v>13</v>
      </c>
      <c r="L2" s="3" t="s">
        <v>14</v>
      </c>
      <c r="M2" s="3" t="s">
        <v>15</v>
      </c>
      <c r="N2" s="3" t="s">
        <v>16</v>
      </c>
      <c r="O2" s="4" t="s">
        <v>17</v>
      </c>
      <c r="P2" s="4" t="s">
        <v>18</v>
      </c>
      <c r="Q2" s="4" t="s">
        <v>19</v>
      </c>
      <c r="R2" s="5" t="s">
        <v>20</v>
      </c>
    </row>
    <row r="3" spans="1:18" ht="43.5">
      <c r="A3" s="35" t="s">
        <v>29</v>
      </c>
      <c r="B3" s="6" t="s">
        <v>51</v>
      </c>
      <c r="C3" s="6" t="s">
        <v>4</v>
      </c>
      <c r="D3" s="7" t="s">
        <v>21</v>
      </c>
      <c r="E3" s="7" t="s">
        <v>22</v>
      </c>
      <c r="F3" s="8">
        <v>18</v>
      </c>
      <c r="G3" s="8">
        <v>23</v>
      </c>
      <c r="H3" s="8">
        <v>8</v>
      </c>
      <c r="I3" s="8">
        <v>12</v>
      </c>
      <c r="J3" s="9">
        <v>3.5999999999999997E-2</v>
      </c>
      <c r="K3" s="9">
        <f>('Pricing Estimates'!$F3*'Pricing Estimates'!$G3*'Pricing Estimates'!$H3*'Pricing Estimates'!$I3*'Pricing Estimates'!$J3)</f>
        <v>1430.7839999999999</v>
      </c>
      <c r="L3" s="10">
        <v>3</v>
      </c>
      <c r="M3" s="10">
        <v>1</v>
      </c>
      <c r="N3" s="10">
        <v>0</v>
      </c>
      <c r="O3" s="11">
        <f>'Pricing Estimates'!$L3*'Pricing Estimates'!$K3</f>
        <v>4292.3519999999999</v>
      </c>
      <c r="P3" s="12">
        <f>'Pricing Estimates'!$M3*'Pricing Estimates'!$K3</f>
        <v>1430.7839999999999</v>
      </c>
      <c r="Q3" s="13">
        <f>'Pricing Estimates'!$K3*'Pricing Estimates'!$N3</f>
        <v>0</v>
      </c>
      <c r="R3" s="14"/>
    </row>
    <row r="4" spans="1:18" ht="43.5">
      <c r="A4" s="35" t="s">
        <v>29</v>
      </c>
      <c r="B4" s="6" t="s">
        <v>52</v>
      </c>
      <c r="C4" s="6" t="s">
        <v>4</v>
      </c>
      <c r="D4" s="7" t="s">
        <v>21</v>
      </c>
      <c r="E4" s="7" t="s">
        <v>23</v>
      </c>
      <c r="F4" s="8">
        <v>18</v>
      </c>
      <c r="G4" s="8">
        <v>23</v>
      </c>
      <c r="H4" s="8">
        <v>16</v>
      </c>
      <c r="I4" s="8">
        <v>12</v>
      </c>
      <c r="J4" s="9">
        <v>3.5999999999999997E-2</v>
      </c>
      <c r="K4" s="9">
        <f>('Pricing Estimates'!$F4*'Pricing Estimates'!$G4*'Pricing Estimates'!$H4*'Pricing Estimates'!$I4*'Pricing Estimates'!$J4)</f>
        <v>2861.5679999999998</v>
      </c>
      <c r="L4" s="10">
        <v>3</v>
      </c>
      <c r="M4" s="10">
        <v>1</v>
      </c>
      <c r="N4" s="10">
        <v>0</v>
      </c>
      <c r="O4" s="11">
        <f>'Pricing Estimates'!$L4*'Pricing Estimates'!$K4</f>
        <v>8584.7039999999997</v>
      </c>
      <c r="P4" s="12">
        <f>'Pricing Estimates'!$M4*'Pricing Estimates'!$K4</f>
        <v>2861.5679999999998</v>
      </c>
      <c r="Q4" s="13">
        <f>'Pricing Estimates'!$K4*'Pricing Estimates'!$N4</f>
        <v>0</v>
      </c>
      <c r="R4" s="14"/>
    </row>
    <row r="5" spans="1:18" ht="43.5">
      <c r="A5" s="35" t="s">
        <v>29</v>
      </c>
      <c r="B5" s="6" t="s">
        <v>53</v>
      </c>
      <c r="C5" s="6" t="s">
        <v>4</v>
      </c>
      <c r="D5" s="7" t="s">
        <v>21</v>
      </c>
      <c r="E5" s="7" t="s">
        <v>23</v>
      </c>
      <c r="F5" s="8">
        <v>18</v>
      </c>
      <c r="G5" s="8">
        <v>23</v>
      </c>
      <c r="H5" s="8">
        <v>16</v>
      </c>
      <c r="I5" s="8">
        <v>12</v>
      </c>
      <c r="J5" s="9">
        <v>3.5999999999999997E-2</v>
      </c>
      <c r="K5" s="9">
        <f>('Pricing Estimates'!$F5*'Pricing Estimates'!$G5*'Pricing Estimates'!$H5*'Pricing Estimates'!$I5*'Pricing Estimates'!$J5)</f>
        <v>2861.5679999999998</v>
      </c>
      <c r="L5" s="10">
        <v>3</v>
      </c>
      <c r="M5" s="10">
        <v>1</v>
      </c>
      <c r="N5" s="10">
        <v>0</v>
      </c>
      <c r="O5" s="11">
        <f>'Pricing Estimates'!$L5*'Pricing Estimates'!$K5</f>
        <v>8584.7039999999997</v>
      </c>
      <c r="P5" s="12">
        <f>'Pricing Estimates'!$M5*'Pricing Estimates'!$K5</f>
        <v>2861.5679999999998</v>
      </c>
      <c r="Q5" s="13">
        <f>'Pricing Estimates'!$K5*'Pricing Estimates'!$N5</f>
        <v>0</v>
      </c>
      <c r="R5" s="14"/>
    </row>
    <row r="8" spans="1:18" ht="15.75" customHeight="1"/>
    <row r="9" spans="1:18" ht="14.5"/>
    <row r="10" spans="1:18" thickBot="1">
      <c r="N10" s="15" t="s">
        <v>24</v>
      </c>
      <c r="O10" s="17">
        <f>SUM(O3:Q5)</f>
        <v>28615.68</v>
      </c>
    </row>
    <row r="11" spans="1:18" ht="15" customHeight="1" thickBot="1"/>
    <row r="12" spans="1:18" ht="14.5">
      <c r="N12" s="15" t="s">
        <v>25</v>
      </c>
      <c r="O12" s="16">
        <f>SUM($H3:$H5)*SUM($I3:$I5)</f>
        <v>1440</v>
      </c>
    </row>
  </sheetData>
  <autoFilter ref="A2:R2" xr:uid="{67BDDD8B-28A4-472A-B9AD-5F33E6A9FCB8}"/>
  <mergeCells count="1">
    <mergeCell ref="F1:Q1"/>
  </mergeCells>
  <phoneticPr fontId="8" type="noConversion"/>
  <pageMargins left="0.7" right="0.7" top="0.75" bottom="0.75" header="0.3" footer="0.3"/>
  <customProperties>
    <customPr name="EpmWorksheetKeyString_GUID" r:id="rId1"/>
  </customPropertie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Flow_SignoffStatus xmlns="b9f4746f-eab9-4dbf-84d4-38d6443c0924" xsi:nil="true"/>
    <_ip_UnifiedCompliancePolicyProperties xmlns="http://schemas.microsoft.com/sharepoint/v3" xsi:nil="true"/>
    <lcf76f155ced4ddcb4097134ff3c332f xmlns="b9f4746f-eab9-4dbf-84d4-38d6443c0924">
      <Terms xmlns="http://schemas.microsoft.com/office/infopath/2007/PartnerControls"/>
    </lcf76f155ced4ddcb4097134ff3c332f>
    <TaxCatchAll xmlns="230e9df3-be65-4c73-a93b-d1236ebd677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ECDE8FF1E05E54A8AA8398D7B32FFCC" ma:contentTypeVersion="21" ma:contentTypeDescription="Create a new document." ma:contentTypeScope="" ma:versionID="c77f8387acb26111600668bf77a0f945">
  <xsd:schema xmlns:xsd="http://www.w3.org/2001/XMLSchema" xmlns:xs="http://www.w3.org/2001/XMLSchema" xmlns:p="http://schemas.microsoft.com/office/2006/metadata/properties" xmlns:ns1="http://schemas.microsoft.com/sharepoint/v3" xmlns:ns2="b9f4746f-eab9-4dbf-84d4-38d6443c0924" xmlns:ns3="3800f5c7-545f-4bc6-9c67-8302d1f916b9" xmlns:ns4="230e9df3-be65-4c73-a93b-d1236ebd677e" targetNamespace="http://schemas.microsoft.com/office/2006/metadata/properties" ma:root="true" ma:fieldsID="35e4518790d6f78da0780ff5057d5eef" ns1:_="" ns2:_="" ns3:_="" ns4:_="">
    <xsd:import namespace="http://schemas.microsoft.com/sharepoint/v3"/>
    <xsd:import namespace="b9f4746f-eab9-4dbf-84d4-38d6443c0924"/>
    <xsd:import namespace="3800f5c7-545f-4bc6-9c67-8302d1f916b9"/>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1:_ip_UnifiedCompliancePolicyProperties" minOccurs="0"/>
                <xsd:element ref="ns1:_ip_UnifiedCompliancePolicyUIAction"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ocTags" minOccurs="0"/>
                <xsd:element ref="ns2:MediaServiceDateTaken" minOccurs="0"/>
                <xsd:element ref="ns2:_Flow_SignoffStatu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4" nillable="true" ma:displayName="Unified Compliance Policy Properties" ma:hidden="true" ma:internalName="_ip_UnifiedCompliancePolicyProperties">
      <xsd:simpleType>
        <xsd:restriction base="dms:Note"/>
      </xsd:simpleType>
    </xsd:element>
    <xsd:element name="_ip_UnifiedCompliancePolicyUIAction" ma:index="15"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9f4746f-eab9-4dbf-84d4-38d6443c09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DocTags" ma:index="24" nillable="true" ma:displayName="MediaServiceDocTags" ma:hidden="true" ma:internalName="MediaServiceDocTags" ma:readOnly="true">
      <xsd:simpleType>
        <xsd:restriction base="dms:Note"/>
      </xsd:simpleType>
    </xsd:element>
    <xsd:element name="MediaServiceDateTaken" ma:index="25" nillable="true" ma:displayName="MediaServiceDateTaken" ma:hidden="true" ma:indexed="true" ma:internalName="MediaServiceDateTaken" ma:readOnly="true">
      <xsd:simpleType>
        <xsd:restriction base="dms:Text"/>
      </xsd:simpleType>
    </xsd:element>
    <xsd:element name="_Flow_SignoffStatus" ma:index="26" nillable="true" ma:displayName="Sign-off status" ma:internalName="Sign_x002d_off_x0020_status">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800f5c7-545f-4bc6-9c67-8302d1f916b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13522281-892c-4e5b-8d55-2d371878f6fe}" ma:internalName="TaxCatchAll" ma:showField="CatchAllData" ma:web="3800f5c7-545f-4bc6-9c67-8302d1f916b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71C86A-6BBD-4B41-9D6C-F5C4DAC726D0}">
  <ds:schemaRefs>
    <ds:schemaRef ds:uri="http://schemas.microsoft.com/sharepoint/v3/contenttype/forms"/>
  </ds:schemaRefs>
</ds:datastoreItem>
</file>

<file path=customXml/itemProps2.xml><?xml version="1.0" encoding="utf-8"?>
<ds:datastoreItem xmlns:ds="http://schemas.openxmlformats.org/officeDocument/2006/customXml" ds:itemID="{E07D19B4-3B14-4C7E-9F7E-065C325BC019}">
  <ds:schemaRefs>
    <ds:schemaRef ds:uri="http://schemas.microsoft.com/office/2006/metadata/properties"/>
    <ds:schemaRef ds:uri="http://schemas.microsoft.com/office/infopath/2007/PartnerControls"/>
    <ds:schemaRef ds:uri="http://schemas.microsoft.com/sharepoint/v3"/>
    <ds:schemaRef ds:uri="b9f4746f-eab9-4dbf-84d4-38d6443c0924"/>
    <ds:schemaRef ds:uri="230e9df3-be65-4c73-a93b-d1236ebd677e"/>
  </ds:schemaRefs>
</ds:datastoreItem>
</file>

<file path=customXml/itemProps3.xml><?xml version="1.0" encoding="utf-8"?>
<ds:datastoreItem xmlns:ds="http://schemas.openxmlformats.org/officeDocument/2006/customXml" ds:itemID="{87EDBCD6-0E58-4728-83FE-E40342CCBE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9f4746f-eab9-4dbf-84d4-38d6443c0924"/>
    <ds:schemaRef ds:uri="3800f5c7-545f-4bc6-9c67-8302d1f916b9"/>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Worksheets</vt:lpstr>
      </vt:variant>
      <vt:variant>
        <vt:i4>3</vt:i4>
      </vt:variant>
    </vt:vector>
  </HeadingPairs>
  <TitlesOfParts>
    <vt:vector size="3" baseType="lpstr">
      <vt:lpstr>Azure Resources</vt:lpstr>
      <vt:lpstr>Compute Specifications</vt:lpstr>
      <vt:lpstr>Pricing Estimates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revision/>
  <dcterms:created xsi:type="dcterms:W3CDTF">2024-12-02T20:41:53Z</dcterms:created>
  <dcterms:modified xsi:type="dcterms:W3CDTF">2026-03-03T23:34:34Z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0x010100AECDE8FF1E05E54A8AA8398D7B32FFCC</vt:lpwstr>
  </property>
  <property fmtid="{D5CDD505-2E9C-101B-9397-08002B2CF9AE}" pid="3" name="MediaServiceImageTags">
    <vt:lpwstr/>
  </property>
</Properties>
</file>